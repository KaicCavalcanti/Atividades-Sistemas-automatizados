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as\Downloads\"/>
    </mc:Choice>
  </mc:AlternateContent>
  <xr:revisionPtr revIDLastSave="0" documentId="8_{E81232D5-59F8-4DD6-9295-22A310EE8792}" xr6:coauthVersionLast="47" xr6:coauthVersionMax="47" xr10:uidLastSave="{00000000-0000-0000-0000-000000000000}"/>
  <bookViews>
    <workbookView xWindow="-120" yWindow="-120" windowWidth="20730" windowHeight="11760" xr2:uid="{CD385291-EA3B-4CCA-B8A4-A6B67F15E2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G11" i="1" s="1"/>
  <c r="C10" i="1"/>
  <c r="G10" i="1" s="1"/>
  <c r="C9" i="1"/>
  <c r="E9" i="1" s="1"/>
  <c r="C8" i="1"/>
  <c r="G8" i="1" s="1"/>
  <c r="C7" i="1"/>
  <c r="G7" i="1" s="1"/>
  <c r="C6" i="1"/>
  <c r="G6" i="1" s="1"/>
  <c r="C5" i="1"/>
  <c r="G5" i="1" s="1"/>
  <c r="C4" i="1"/>
  <c r="F4" i="1" s="1"/>
  <c r="C3" i="1"/>
  <c r="G3" i="1" s="1"/>
  <c r="C2" i="1"/>
  <c r="D2" i="1" s="1"/>
  <c r="F9" i="1" l="1"/>
  <c r="G9" i="1"/>
  <c r="F7" i="1"/>
  <c r="D7" i="1"/>
  <c r="E7" i="1"/>
  <c r="G4" i="1"/>
  <c r="D5" i="1"/>
  <c r="E5" i="1"/>
  <c r="E8" i="1"/>
  <c r="D10" i="1"/>
  <c r="D3" i="1"/>
  <c r="F5" i="1"/>
  <c r="E10" i="1"/>
  <c r="E3" i="1"/>
  <c r="D8" i="1"/>
  <c r="F10" i="1"/>
  <c r="F3" i="1"/>
  <c r="D6" i="1"/>
  <c r="F8" i="1"/>
  <c r="E6" i="1"/>
  <c r="D11" i="1"/>
  <c r="D4" i="1"/>
  <c r="F6" i="1"/>
  <c r="E11" i="1"/>
  <c r="E4" i="1"/>
  <c r="D9" i="1"/>
  <c r="F11" i="1"/>
  <c r="E2" i="1"/>
  <c r="F2" i="1"/>
  <c r="G2" i="1"/>
</calcChain>
</file>

<file path=xl/sharedStrings.xml><?xml version="1.0" encoding="utf-8"?>
<sst xmlns="http://schemas.openxmlformats.org/spreadsheetml/2006/main" count="7" uniqueCount="7">
  <si>
    <t>amostra</t>
  </si>
  <si>
    <t>bruto_ADC</t>
  </si>
  <si>
    <t>percentual_%</t>
  </si>
  <si>
    <t>temperatura_C</t>
  </si>
  <si>
    <t>corrente_mA</t>
  </si>
  <si>
    <t>tensao_V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</si>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</sst>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Planilha1!$D$1</c:f>
              <c:strCache>
                <c:ptCount val="1"/>
                <c:pt idx="0">
                  <c:v>temperatura_C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Planilha1!$D$2:$D$11</c:f>
              <c:numCache>
                <c:formatCode>General</c:formatCode>
                <c:ptCount val="10"/>
                <c:pt idx="0">
                  <c:v>50.048875855327466</c:v>
                </c:pt>
                <c:pt idx="1">
                  <c:v>78.201368523949171</c:v>
                </c:pt>
                <c:pt idx="2">
                  <c:v>43.988269794721404</c:v>
                </c:pt>
                <c:pt idx="3">
                  <c:v>97.75171065493646</c:v>
                </c:pt>
                <c:pt idx="4">
                  <c:v>4.8875855327468232</c:v>
                </c:pt>
                <c:pt idx="5">
                  <c:v>9.7751710654936463</c:v>
                </c:pt>
                <c:pt idx="6">
                  <c:v>95.796676441837732</c:v>
                </c:pt>
                <c:pt idx="7">
                  <c:v>68.426197458455519</c:v>
                </c:pt>
                <c:pt idx="8">
                  <c:v>2.150537634408602</c:v>
                </c:pt>
                <c:pt idx="9">
                  <c:v>13.00097751710655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9-440B-BDA6-EDC999DAF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092431"/>
        <c:axId val="865094095"/>
      </c:lineChart>
      <c:catAx>
        <c:axId val="86509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Amostra</a:t>
                </a:r>
              </a:p>
              <a:p>
                <a:pPr>
                  <a:defRPr/>
                </a:pPr>
                <a:endParaRPr lang="pt-BR"/>
              </a:p>
            </c:rich>
          </c:tx>
          <c:layout>
            <c:manualLayout>
              <c:xMode val="edge"/>
              <c:yMode val="edge"/>
              <c:x val="0.42270713035870511"/>
              <c:y val="0.898374442000628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5094095"/>
        <c:crosses val="autoZero"/>
        <c:auto val="1"/>
        <c:lblAlgn val="ctr"/>
        <c:lblOffset val="100"/>
        <c:noMultiLvlLbl val="0"/>
      </c:catAx>
      <c:valAx>
        <c:axId val="86509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Temperatura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43526876701106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509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2034267</xdr:colOff>
      <xdr:row>12</xdr:row>
      <xdr:rowOff>9523</xdr:rowOff>
    </xdr:from>
    <xdr:to>
      <xdr:col>4</xdr:col>
      <xdr:colOff>442232</xdr:colOff>
      <xdr:row>27</xdr:row>
      <xdr:rowOff>176892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E72DED-B02E-4DF5-AD44-71812C1D0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FAD8-2386-49B9-825A-CAFD7BA0D4F5}">
  <dimension ref="A1:G11"/>
  <sheetViews>
    <sheetView tabSelected="1" zoomScale="70" zoomScaleNormal="70" workbookViewId="0">
      <selection activeCell="F20" sqref="F20"/>
    </sheetView>
  </sheetViews>
  <sheetFormatPr defaultColWidth="30.7109375" defaultRowHeight="15" x14ac:dyDescent="0.25"/>
  <cols>
    <col min="1" max="1" width="3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>
        <v>512</v>
      </c>
      <c r="C2" s="2">
        <f>100*B2/1023</f>
        <v>50.048875855327466</v>
      </c>
      <c r="D2" s="3">
        <f>C2</f>
        <v>50.048875855327466</v>
      </c>
      <c r="E2" s="2">
        <f>4+16*C2/100</f>
        <v>12.007820136852395</v>
      </c>
      <c r="F2" s="3">
        <f>10*C2/100</f>
        <v>5.0048875855327468</v>
      </c>
      <c r="G2" s="2" t="str">
        <f>IF(OR(C2&lt;0,C2&gt;100),"FALHA",IF(C2&gt;=85,"PERIGO",IF(C2&gt;=70,"ATENÇÃO","NORMAL")))</f>
        <v>NORMAL</v>
      </c>
    </row>
    <row r="3" spans="1:7" x14ac:dyDescent="0.25">
      <c r="A3" s="4">
        <v>2</v>
      </c>
      <c r="B3" s="2">
        <v>800</v>
      </c>
      <c r="C3" s="2">
        <f t="shared" ref="C3:C11" si="0">100*B3/1023</f>
        <v>78.201368523949171</v>
      </c>
      <c r="D3" s="3">
        <f t="shared" ref="D3:D11" si="1">C3</f>
        <v>78.201368523949171</v>
      </c>
      <c r="E3" s="2">
        <f t="shared" ref="E3:E11" si="2">4+16*C3/100</f>
        <v>16.512218963831867</v>
      </c>
      <c r="F3" s="3">
        <f t="shared" ref="F3:F11" si="3">10*C3/100</f>
        <v>7.8201368523949171</v>
      </c>
      <c r="G3" s="2" t="str">
        <f t="shared" ref="G3:G11" si="4">IF(OR(C3&lt;0,C3&gt;100),"FALHA",IF(C3&gt;=85,"PERIGO",IF(C3&gt;=70,"ATENÇÃO","NORMAL")))</f>
        <v>ATENÇÃO</v>
      </c>
    </row>
    <row r="4" spans="1:7" x14ac:dyDescent="0.25">
      <c r="A4" s="2">
        <v>3</v>
      </c>
      <c r="B4" s="2">
        <v>450</v>
      </c>
      <c r="C4" s="2">
        <f t="shared" si="0"/>
        <v>43.988269794721404</v>
      </c>
      <c r="D4" s="3">
        <f t="shared" si="1"/>
        <v>43.988269794721404</v>
      </c>
      <c r="E4" s="2">
        <f t="shared" si="2"/>
        <v>11.038123167155424</v>
      </c>
      <c r="F4" s="3">
        <f t="shared" si="3"/>
        <v>4.3988269794721404</v>
      </c>
      <c r="G4" s="2" t="str">
        <f t="shared" si="4"/>
        <v>NORMAL</v>
      </c>
    </row>
    <row r="5" spans="1:7" x14ac:dyDescent="0.25">
      <c r="A5" s="4">
        <v>4</v>
      </c>
      <c r="B5" s="2">
        <v>1000</v>
      </c>
      <c r="C5" s="2">
        <f t="shared" si="0"/>
        <v>97.75171065493646</v>
      </c>
      <c r="D5" s="3">
        <f t="shared" si="1"/>
        <v>97.75171065493646</v>
      </c>
      <c r="E5" s="2">
        <f t="shared" si="2"/>
        <v>19.640273704789834</v>
      </c>
      <c r="F5" s="3">
        <f t="shared" si="3"/>
        <v>9.7751710654936463</v>
      </c>
      <c r="G5" s="2" t="str">
        <f t="shared" si="4"/>
        <v>PERIGO</v>
      </c>
    </row>
    <row r="6" spans="1:7" x14ac:dyDescent="0.25">
      <c r="A6" s="2">
        <v>5</v>
      </c>
      <c r="B6" s="2">
        <v>50</v>
      </c>
      <c r="C6" s="2">
        <f t="shared" si="0"/>
        <v>4.8875855327468232</v>
      </c>
      <c r="D6" s="3">
        <f t="shared" si="1"/>
        <v>4.8875855327468232</v>
      </c>
      <c r="E6" s="2">
        <f t="shared" si="2"/>
        <v>4.7820136852394919</v>
      </c>
      <c r="F6" s="3">
        <f t="shared" si="3"/>
        <v>0.48875855327468232</v>
      </c>
      <c r="G6" s="2" t="str">
        <f t="shared" si="4"/>
        <v>NORMAL</v>
      </c>
    </row>
    <row r="7" spans="1:7" x14ac:dyDescent="0.25">
      <c r="A7" s="4">
        <v>6</v>
      </c>
      <c r="B7" s="2">
        <v>100</v>
      </c>
      <c r="C7" s="2">
        <f t="shared" si="0"/>
        <v>9.7751710654936463</v>
      </c>
      <c r="D7" s="3">
        <f t="shared" si="1"/>
        <v>9.7751710654936463</v>
      </c>
      <c r="E7" s="2">
        <f t="shared" si="2"/>
        <v>5.5640273704789838</v>
      </c>
      <c r="F7" s="3">
        <f t="shared" si="3"/>
        <v>0.97751710654936463</v>
      </c>
      <c r="G7" s="2" t="str">
        <f t="shared" si="4"/>
        <v>NORMAL</v>
      </c>
    </row>
    <row r="8" spans="1:7" x14ac:dyDescent="0.25">
      <c r="A8" s="2">
        <v>7</v>
      </c>
      <c r="B8" s="2">
        <v>980</v>
      </c>
      <c r="C8" s="2">
        <f t="shared" si="0"/>
        <v>95.796676441837732</v>
      </c>
      <c r="D8" s="3">
        <f t="shared" si="1"/>
        <v>95.796676441837732</v>
      </c>
      <c r="E8" s="2">
        <f t="shared" si="2"/>
        <v>19.327468230694038</v>
      </c>
      <c r="F8" s="3">
        <f t="shared" si="3"/>
        <v>9.5796676441837736</v>
      </c>
      <c r="G8" s="2" t="str">
        <f t="shared" si="4"/>
        <v>PERIGO</v>
      </c>
    </row>
    <row r="9" spans="1:7" x14ac:dyDescent="0.25">
      <c r="A9" s="4">
        <v>8</v>
      </c>
      <c r="B9" s="2">
        <v>700</v>
      </c>
      <c r="C9" s="2">
        <f t="shared" si="0"/>
        <v>68.426197458455519</v>
      </c>
      <c r="D9" s="3">
        <f t="shared" si="1"/>
        <v>68.426197458455519</v>
      </c>
      <c r="E9" s="2">
        <f t="shared" si="2"/>
        <v>14.948191593352883</v>
      </c>
      <c r="F9" s="3">
        <f t="shared" si="3"/>
        <v>6.8426197458455524</v>
      </c>
      <c r="G9" s="2" t="str">
        <f t="shared" si="4"/>
        <v>NORMAL</v>
      </c>
    </row>
    <row r="10" spans="1:7" x14ac:dyDescent="0.25">
      <c r="A10" s="2">
        <v>9</v>
      </c>
      <c r="B10" s="2">
        <v>22</v>
      </c>
      <c r="C10" s="2">
        <f t="shared" si="0"/>
        <v>2.150537634408602</v>
      </c>
      <c r="D10" s="3">
        <f t="shared" si="1"/>
        <v>2.150537634408602</v>
      </c>
      <c r="E10" s="2">
        <f t="shared" si="2"/>
        <v>4.344086021505376</v>
      </c>
      <c r="F10" s="3">
        <f t="shared" si="3"/>
        <v>0.21505376344086019</v>
      </c>
      <c r="G10" s="2" t="str">
        <f t="shared" si="4"/>
        <v>NORMAL</v>
      </c>
    </row>
    <row r="11" spans="1:7" x14ac:dyDescent="0.25">
      <c r="A11" s="2">
        <v>10</v>
      </c>
      <c r="B11" s="2">
        <v>133</v>
      </c>
      <c r="C11" s="2">
        <f t="shared" si="0"/>
        <v>13.00097751710655</v>
      </c>
      <c r="D11" s="3">
        <f t="shared" si="1"/>
        <v>13.00097751710655</v>
      </c>
      <c r="E11" s="2">
        <f t="shared" si="2"/>
        <v>6.0801564027370478</v>
      </c>
      <c r="F11" s="3">
        <f t="shared" si="3"/>
        <v>1.3000977517106551</v>
      </c>
      <c r="G11" s="2" t="str">
        <f t="shared" si="4"/>
        <v>NORMAL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Kaic e Heloisa</dc:creator>
  <cp:lastModifiedBy>Kaic e Heloisa</cp:lastModifiedBy>
  <dcterms:created xsi:type="dcterms:W3CDTF">2026-09-09T00:35:27Z</dcterms:created>
  <dcterms:modified xsi:type="dcterms:W3CDTF">2026-09-09T00:55:32Z</dcterms:modified>
</cp:coreProperties>
</file>